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500" activeTab="1"/>
  </bookViews>
  <sheets>
    <sheet name="Completed Dataset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<sst xmlns="http://schemas.openxmlformats.org/spreadsheetml/2006/main" count="294" uniqueCount="159">
  <si>
    <t>Product ID</t>
  </si>
  <si>
    <t>Product Name</t>
  </si>
  <si>
    <t>Brand Name</t>
  </si>
  <si>
    <t>Price ($)</t>
  </si>
  <si>
    <t>Quantity</t>
  </si>
  <si>
    <t>Category</t>
  </si>
  <si>
    <t>Price Range</t>
  </si>
  <si>
    <t>Day</t>
  </si>
  <si>
    <t>Country Code</t>
  </si>
  <si>
    <t>Month</t>
  </si>
  <si>
    <t>DAY</t>
  </si>
  <si>
    <t>COUNTRY CODE</t>
  </si>
  <si>
    <t>MONTH</t>
  </si>
  <si>
    <t>28-JAN-US</t>
  </si>
  <si>
    <t>Laptop</t>
  </si>
  <si>
    <t>Dell</t>
  </si>
  <si>
    <t>Electronics</t>
  </si>
  <si>
    <t>High Price</t>
  </si>
  <si>
    <t>28</t>
  </si>
  <si>
    <t>US</t>
  </si>
  <si>
    <t>JAN</t>
  </si>
  <si>
    <t>15-FEB-US</t>
  </si>
  <si>
    <t>Sneakers</t>
  </si>
  <si>
    <t>Nike</t>
  </si>
  <si>
    <t>Fashion</t>
  </si>
  <si>
    <t>Standard Price</t>
  </si>
  <si>
    <t>15</t>
  </si>
  <si>
    <t>FEB</t>
  </si>
  <si>
    <t>03-MAR-US</t>
  </si>
  <si>
    <t>Coffee Maker</t>
  </si>
  <si>
    <t>Keurig</t>
  </si>
  <si>
    <t>Kitchen</t>
  </si>
  <si>
    <t>03</t>
  </si>
  <si>
    <t>MAR</t>
  </si>
  <si>
    <t>11-APR-US</t>
  </si>
  <si>
    <t>Smartphone</t>
  </si>
  <si>
    <t>Samsung</t>
  </si>
  <si>
    <t>11</t>
  </si>
  <si>
    <t>APR</t>
  </si>
  <si>
    <t>22-MAY-US</t>
  </si>
  <si>
    <t>Backpack</t>
  </si>
  <si>
    <t>North Face</t>
  </si>
  <si>
    <t>Outdoor</t>
  </si>
  <si>
    <t>22</t>
  </si>
  <si>
    <t>MAY</t>
  </si>
  <si>
    <t>07-JUN-UK</t>
  </si>
  <si>
    <t>Headphones</t>
  </si>
  <si>
    <t>Sony</t>
  </si>
  <si>
    <t>07</t>
  </si>
  <si>
    <t>UK</t>
  </si>
  <si>
    <t>JUN</t>
  </si>
  <si>
    <t>19-JUL-UK</t>
  </si>
  <si>
    <t>T-shirt</t>
  </si>
  <si>
    <t>Adidas</t>
  </si>
  <si>
    <t>19</t>
  </si>
  <si>
    <t>JUL</t>
  </si>
  <si>
    <t>23-AUG-UK</t>
  </si>
  <si>
    <t>Blender</t>
  </si>
  <si>
    <t>Ninja</t>
  </si>
  <si>
    <t>23</t>
  </si>
  <si>
    <t>AUG</t>
  </si>
  <si>
    <t>05-SEP-UK</t>
  </si>
  <si>
    <t>Tablet</t>
  </si>
  <si>
    <t>Apple</t>
  </si>
  <si>
    <t>05</t>
  </si>
  <si>
    <t>SEP</t>
  </si>
  <si>
    <t>14-OCT-UK</t>
  </si>
  <si>
    <t>Hiking Boots</t>
  </si>
  <si>
    <t>Timberland</t>
  </si>
  <si>
    <t>14</t>
  </si>
  <si>
    <t>OCT</t>
  </si>
  <si>
    <t>17-JUN-IN</t>
  </si>
  <si>
    <t>HP</t>
  </si>
  <si>
    <t>17</t>
  </si>
  <si>
    <t>IN</t>
  </si>
  <si>
    <t>25-NOV-AU</t>
  </si>
  <si>
    <t>25</t>
  </si>
  <si>
    <t>AU</t>
  </si>
  <si>
    <t>NOV</t>
  </si>
  <si>
    <t>08-DEC-DE</t>
  </si>
  <si>
    <t>Nespresso</t>
  </si>
  <si>
    <t>08</t>
  </si>
  <si>
    <t>DE</t>
  </si>
  <si>
    <t>DEC</t>
  </si>
  <si>
    <t>18-FEB-CA</t>
  </si>
  <si>
    <t>Smartwatch</t>
  </si>
  <si>
    <t>Fitbit</t>
  </si>
  <si>
    <t>18</t>
  </si>
  <si>
    <t>CA</t>
  </si>
  <si>
    <t>16-APR-ES</t>
  </si>
  <si>
    <t>Bose</t>
  </si>
  <si>
    <t>16</t>
  </si>
  <si>
    <t>ES</t>
  </si>
  <si>
    <t>21-AUG-CA</t>
  </si>
  <si>
    <t>Laptop Bag</t>
  </si>
  <si>
    <t>Samsonite</t>
  </si>
  <si>
    <t>Accessories</t>
  </si>
  <si>
    <t>21</t>
  </si>
  <si>
    <t>20-AUG-CN</t>
  </si>
  <si>
    <t>Huawei</t>
  </si>
  <si>
    <t>20</t>
  </si>
  <si>
    <t>CN</t>
  </si>
  <si>
    <t>27-JAN-IT</t>
  </si>
  <si>
    <t>Asus</t>
  </si>
  <si>
    <t>27</t>
  </si>
  <si>
    <t>IT</t>
  </si>
  <si>
    <t>01-MAR-UK</t>
  </si>
  <si>
    <t>Sunglasses</t>
  </si>
  <si>
    <t>Oakley</t>
  </si>
  <si>
    <t>01</t>
  </si>
  <si>
    <t>14-AUG-US</t>
  </si>
  <si>
    <t>Camping Tent</t>
  </si>
  <si>
    <t>Coleman</t>
  </si>
  <si>
    <t>14-MAY-RU</t>
  </si>
  <si>
    <t>Camera</t>
  </si>
  <si>
    <t>Nikon</t>
  </si>
  <si>
    <t>RU</t>
  </si>
  <si>
    <t>09-JAN-CA</t>
  </si>
  <si>
    <t>Microwave</t>
  </si>
  <si>
    <t>Panasonic</t>
  </si>
  <si>
    <t>09</t>
  </si>
  <si>
    <t>19-JUL-BR</t>
  </si>
  <si>
    <t>Fitness Tracker</t>
  </si>
  <si>
    <t>Xiaomi</t>
  </si>
  <si>
    <t>BR</t>
  </si>
  <si>
    <t>29-SEP-CA</t>
  </si>
  <si>
    <t>Google</t>
  </si>
  <si>
    <t>29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</si>
  <si>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</si>
  <si>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</si>
  <si>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</si>
  <si>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</si>
  <si>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</si>
  <si>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</si>
  <si>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</si>
  <si>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</si>
  <si>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</si>
  <si>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</si>
  <si>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13</t>
  </si>
  <si>
    <t>24-MAY-CA</t>
  </si>
  <si>
    <t>Garmin</t>
  </si>
  <si>
    <t>24</t>
  </si>
  <si>
    <t>02-DEC-CA</t>
  </si>
  <si>
    <t>Jeans</t>
  </si>
  <si>
    <t>Levi's</t>
  </si>
  <si>
    <t>02</t>
  </si>
  <si>
    <t>09-JUL-FR</t>
  </si>
  <si>
    <t>Watch</t>
  </si>
  <si>
    <t>Casio</t>
  </si>
  <si>
    <t>FR</t>
  </si>
  <si>
    <t>Metric</t>
  </si>
  <si>
    <t>Value</t>
  </si>
  <si>
    <t>Total Price of all Products</t>
  </si>
  <si>
    <t>Total Number of Products</t>
  </si>
  <si>
    <t>Average Price</t>
  </si>
  <si>
    <t>Minimum Price</t>
  </si>
  <si>
    <t>Maximum Price</t>
  </si>
  <si>
    <t>Electronics Total Price (SUMIF)</t>
  </si>
  <si>
    <t>Count of Products &lt; $100 (COUNTIF)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</si>
</sst>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2"/>
  <sheetViews>
    <sheetView workbookViewId="0">
      <selection activeCell="B1" sqref="B1"/>
    </sheetView>
  </sheetViews>
  <sheetFormatPr defaultColWidth="9" defaultRowHeight="15"/>
  <cols>
    <col min="1" max="1" width="11.8571428571429" customWidth="1"/>
    <col min="2" max="2" width="15.2857142857143" customWidth="1"/>
    <col min="3" max="3" width="12.7142857142857" customWidth="1"/>
    <col min="4" max="4" width="12.8571428571429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N1" t="s">
        <v>10</v>
      </c>
      <c r="P1" t="s">
        <v>11</v>
      </c>
      <c r="S1" t="s">
        <v>12</v>
      </c>
    </row>
    <row r="2" ht="30" spans="1:19">
      <c r="A2" t="s">
        <v>13</v>
      </c>
      <c r="B2" t="s">
        <v>14</v>
      </c>
      <c r="C2" t="s">
        <v>15</v>
      </c>
      <c r="D2">
        <v>1000</v>
      </c>
      <c r="E2">
        <v>30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s="3" t="str">
        <f t="shared" ref="K2:K35" si="0">IF(D2&gt;=500,"High Price","Standard Price")</f>
        <v>High Price</v>
      </c>
      <c r="N2" t="str" cm="1">
        <f t="array" ref="N2:N35">LEFT(A2:A35,2)</f>
        <v>28</v>
      </c>
      <c r="O2">
        <f>COUNTIF(D2:D35,"&lt;100")</f>
        <v>11</v>
      </c>
      <c r="P2" t="str" cm="1">
        <f t="array" ref="P2:P35">RIGHT(A2:A35,2)</f>
        <v>US</v>
      </c>
      <c r="S2" t="str" cm="1">
        <f t="array" ref="S2:S35">MID(A2:A35,4,3)</f>
        <v>JAN</v>
      </c>
    </row>
    <row r="3" spans="1:19">
      <c r="A3" t="s">
        <v>21</v>
      </c>
      <c r="B3" t="s">
        <v>22</v>
      </c>
      <c r="C3" t="s">
        <v>23</v>
      </c>
      <c r="D3">
        <v>80</v>
      </c>
      <c r="E3">
        <v>15</v>
      </c>
      <c r="F3" t="s">
        <v>24</v>
      </c>
      <c r="G3" t="s">
        <v>25</v>
      </c>
      <c r="H3" t="s">
        <v>26</v>
      </c>
      <c r="I3" t="s">
        <v>19</v>
      </c>
      <c r="J3" t="s">
        <v>27</v>
      </c>
      <c r="K3" t="str">
        <f t="shared" si="0"/>
        <v>Standard Price</v>
      </c>
      <c r="N3" t="str">
        <v>15</v>
      </c>
      <c r="P3" t="str">
        <v>US</v>
      </c>
      <c r="S3" t="str">
        <v>FEB</v>
      </c>
    </row>
    <row r="4" ht="30" spans="1:19">
      <c r="A4" t="s">
        <v>28</v>
      </c>
      <c r="B4" t="s">
        <v>29</v>
      </c>
      <c r="C4" t="s">
        <v>30</v>
      </c>
      <c r="D4">
        <v>130</v>
      </c>
      <c r="E4">
        <v>40</v>
      </c>
      <c r="F4" t="s">
        <v>31</v>
      </c>
      <c r="G4" t="s">
        <v>25</v>
      </c>
      <c r="H4" t="s">
        <v>32</v>
      </c>
      <c r="I4" t="s">
        <v>19</v>
      </c>
      <c r="J4" t="s">
        <v>33</v>
      </c>
      <c r="K4" s="3" t="str">
        <f t="shared" si="0"/>
        <v>Standard Price</v>
      </c>
      <c r="N4" t="str">
        <v>03</v>
      </c>
      <c r="P4" t="str">
        <v>US</v>
      </c>
      <c r="S4" t="str">
        <v>MAR</v>
      </c>
    </row>
    <row r="5" spans="1:19">
      <c r="A5" t="s">
        <v>34</v>
      </c>
      <c r="B5" t="s">
        <v>35</v>
      </c>
      <c r="C5" t="s">
        <v>36</v>
      </c>
      <c r="D5">
        <v>900</v>
      </c>
      <c r="E5">
        <v>25</v>
      </c>
      <c r="F5" t="s">
        <v>16</v>
      </c>
      <c r="G5" t="s">
        <v>17</v>
      </c>
      <c r="H5" t="s">
        <v>37</v>
      </c>
      <c r="I5" t="s">
        <v>19</v>
      </c>
      <c r="J5" t="s">
        <v>38</v>
      </c>
      <c r="K5" t="str">
        <f t="shared" si="0"/>
        <v>High Price</v>
      </c>
      <c r="N5" t="str">
        <v>11</v>
      </c>
      <c r="P5" t="str">
        <v>US</v>
      </c>
      <c r="S5" t="str">
        <v>APR</v>
      </c>
    </row>
    <row r="6" spans="1:19">
      <c r="A6" t="s">
        <v>39</v>
      </c>
      <c r="B6" t="s">
        <v>40</v>
      </c>
      <c r="C6" t="s">
        <v>41</v>
      </c>
      <c r="D6">
        <v>70</v>
      </c>
      <c r="E6">
        <v>20</v>
      </c>
      <c r="F6" t="s">
        <v>42</v>
      </c>
      <c r="G6" t="s">
        <v>25</v>
      </c>
      <c r="H6" t="s">
        <v>43</v>
      </c>
      <c r="I6" t="s">
        <v>19</v>
      </c>
      <c r="J6" t="s">
        <v>44</v>
      </c>
      <c r="K6" t="str">
        <f t="shared" si="0"/>
        <v>Standard Price</v>
      </c>
      <c r="N6" t="str">
        <v>22</v>
      </c>
      <c r="P6" t="str">
        <v>US</v>
      </c>
      <c r="S6" t="str">
        <v>MAY</v>
      </c>
    </row>
    <row r="7" spans="1:19">
      <c r="A7" t="s">
        <v>45</v>
      </c>
      <c r="B7" t="s">
        <v>46</v>
      </c>
      <c r="C7" t="s">
        <v>47</v>
      </c>
      <c r="D7">
        <v>200</v>
      </c>
      <c r="E7">
        <v>45</v>
      </c>
      <c r="F7" t="s">
        <v>16</v>
      </c>
      <c r="G7" t="s">
        <v>25</v>
      </c>
      <c r="H7" t="s">
        <v>48</v>
      </c>
      <c r="I7" t="s">
        <v>49</v>
      </c>
      <c r="J7" t="s">
        <v>50</v>
      </c>
      <c r="K7" t="str">
        <f t="shared" si="0"/>
        <v>Standard Price</v>
      </c>
      <c r="N7" t="str">
        <v>07</v>
      </c>
      <c r="P7" t="str">
        <v>UK</v>
      </c>
      <c r="S7" t="str">
        <v>JUN</v>
      </c>
    </row>
    <row r="8" spans="1:19">
      <c r="A8" t="s">
        <v>51</v>
      </c>
      <c r="B8" t="s">
        <v>52</v>
      </c>
      <c r="C8" t="s">
        <v>53</v>
      </c>
      <c r="D8">
        <v>30</v>
      </c>
      <c r="E8">
        <v>5</v>
      </c>
      <c r="F8" t="s">
        <v>24</v>
      </c>
      <c r="G8" t="s">
        <v>25</v>
      </c>
      <c r="H8" t="s">
        <v>54</v>
      </c>
      <c r="I8" t="s">
        <v>49</v>
      </c>
      <c r="J8" t="s">
        <v>55</v>
      </c>
      <c r="K8" t="str">
        <f t="shared" si="0"/>
        <v>Standard Price</v>
      </c>
      <c r="N8" t="str">
        <v>19</v>
      </c>
      <c r="P8" t="str">
        <v>UK</v>
      </c>
      <c r="S8" t="str">
        <v>JUL</v>
      </c>
    </row>
    <row r="9" spans="1:19">
      <c r="A9" t="s">
        <v>56</v>
      </c>
      <c r="B9" t="s">
        <v>57</v>
      </c>
      <c r="C9" t="s">
        <v>58</v>
      </c>
      <c r="D9">
        <v>90</v>
      </c>
      <c r="E9">
        <v>35</v>
      </c>
      <c r="F9" t="s">
        <v>31</v>
      </c>
      <c r="G9" t="s">
        <v>25</v>
      </c>
      <c r="H9" t="s">
        <v>59</v>
      </c>
      <c r="I9" t="s">
        <v>49</v>
      </c>
      <c r="J9" t="s">
        <v>60</v>
      </c>
      <c r="K9" t="str">
        <f t="shared" si="0"/>
        <v>Standard Price</v>
      </c>
      <c r="N9" t="str">
        <v>23</v>
      </c>
      <c r="P9" t="str">
        <v>UK</v>
      </c>
      <c r="S9" t="str">
        <v>AUG</v>
      </c>
    </row>
    <row r="10" spans="1:19">
      <c r="A10" t="s">
        <v>61</v>
      </c>
      <c r="B10" t="s">
        <v>62</v>
      </c>
      <c r="C10" t="s">
        <v>63</v>
      </c>
      <c r="D10">
        <v>500</v>
      </c>
      <c r="E10">
        <v>50</v>
      </c>
      <c r="F10" t="s">
        <v>16</v>
      </c>
      <c r="G10" t="s">
        <v>17</v>
      </c>
      <c r="H10" t="s">
        <v>64</v>
      </c>
      <c r="I10" t="s">
        <v>49</v>
      </c>
      <c r="J10" t="s">
        <v>65</v>
      </c>
      <c r="K10" t="str">
        <f t="shared" si="0"/>
        <v>High Price</v>
      </c>
      <c r="N10" t="str">
        <v>05</v>
      </c>
      <c r="P10" t="str">
        <v>UK</v>
      </c>
      <c r="S10" t="str">
        <v>SEP</v>
      </c>
    </row>
    <row r="11" spans="1:19">
      <c r="A11" t="s">
        <v>66</v>
      </c>
      <c r="B11" t="s">
        <v>67</v>
      </c>
      <c r="C11" t="s">
        <v>68</v>
      </c>
      <c r="D11">
        <v>130</v>
      </c>
      <c r="E11">
        <v>10</v>
      </c>
      <c r="F11" t="s">
        <v>42</v>
      </c>
      <c r="G11" t="s">
        <v>25</v>
      </c>
      <c r="H11" t="s">
        <v>69</v>
      </c>
      <c r="I11" t="s">
        <v>49</v>
      </c>
      <c r="J11" t="s">
        <v>70</v>
      </c>
      <c r="K11" t="str">
        <f t="shared" si="0"/>
        <v>Standard Price</v>
      </c>
      <c r="N11" t="str">
        <v>14</v>
      </c>
      <c r="P11" t="str">
        <v>UK</v>
      </c>
      <c r="S11" t="str">
        <v>OCT</v>
      </c>
    </row>
    <row r="12" spans="1:19">
      <c r="A12" t="s">
        <v>71</v>
      </c>
      <c r="B12" t="s">
        <v>14</v>
      </c>
      <c r="C12" t="s">
        <v>72</v>
      </c>
      <c r="D12">
        <v>950</v>
      </c>
      <c r="E12">
        <v>25</v>
      </c>
      <c r="F12" t="s">
        <v>16</v>
      </c>
      <c r="G12" t="s">
        <v>17</v>
      </c>
      <c r="H12" t="s">
        <v>73</v>
      </c>
      <c r="I12" t="s">
        <v>74</v>
      </c>
      <c r="J12" t="s">
        <v>50</v>
      </c>
      <c r="K12" t="str">
        <f t="shared" si="0"/>
        <v>High Price</v>
      </c>
      <c r="N12" t="str">
        <v>17</v>
      </c>
      <c r="P12" t="str">
        <v>IN</v>
      </c>
      <c r="S12" t="str">
        <v>JUN</v>
      </c>
    </row>
    <row r="13" spans="1:19">
      <c r="A13" t="s">
        <v>75</v>
      </c>
      <c r="B13" t="s">
        <v>22</v>
      </c>
      <c r="C13" t="s">
        <v>53</v>
      </c>
      <c r="D13">
        <v>90</v>
      </c>
      <c r="E13">
        <v>40</v>
      </c>
      <c r="F13" t="s">
        <v>24</v>
      </c>
      <c r="G13" t="s">
        <v>25</v>
      </c>
      <c r="H13" t="s">
        <v>76</v>
      </c>
      <c r="I13" t="s">
        <v>77</v>
      </c>
      <c r="J13" t="s">
        <v>78</v>
      </c>
      <c r="K13" t="str">
        <f t="shared" si="0"/>
        <v>Standard Price</v>
      </c>
      <c r="N13" t="str">
        <v>25</v>
      </c>
      <c r="P13" t="str">
        <v>AU</v>
      </c>
      <c r="S13" t="str">
        <v>NOV</v>
      </c>
    </row>
    <row r="14" spans="1:19">
      <c r="A14" t="s">
        <v>79</v>
      </c>
      <c r="B14" t="s">
        <v>29</v>
      </c>
      <c r="C14" t="s">
        <v>80</v>
      </c>
      <c r="D14">
        <v>120</v>
      </c>
      <c r="E14">
        <v>35</v>
      </c>
      <c r="F14" t="s">
        <v>31</v>
      </c>
      <c r="G14" t="s">
        <v>25</v>
      </c>
      <c r="H14" t="s">
        <v>81</v>
      </c>
      <c r="I14" t="s">
        <v>82</v>
      </c>
      <c r="J14" t="s">
        <v>83</v>
      </c>
      <c r="K14" t="str">
        <f t="shared" si="0"/>
        <v>Standard Price</v>
      </c>
      <c r="N14" t="str">
        <v>08</v>
      </c>
      <c r="P14" t="str">
        <v>DE</v>
      </c>
      <c r="S14" t="str">
        <v>DEC</v>
      </c>
    </row>
    <row r="15" ht="30" spans="1:19">
      <c r="A15" t="s">
        <v>84</v>
      </c>
      <c r="B15" t="s">
        <v>85</v>
      </c>
      <c r="C15" t="s">
        <v>86</v>
      </c>
      <c r="D15">
        <v>150</v>
      </c>
      <c r="E15">
        <v>15</v>
      </c>
      <c r="F15" t="s">
        <v>16</v>
      </c>
      <c r="G15" t="s">
        <v>25</v>
      </c>
      <c r="H15" t="s">
        <v>87</v>
      </c>
      <c r="I15" t="s">
        <v>88</v>
      </c>
      <c r="J15" t="s">
        <v>27</v>
      </c>
      <c r="K15" s="3" t="str">
        <f t="shared" si="0"/>
        <v>Standard Price</v>
      </c>
      <c r="N15" t="str">
        <v>18</v>
      </c>
      <c r="P15" t="str">
        <v>CA</v>
      </c>
      <c r="S15" t="str">
        <v>FEB</v>
      </c>
    </row>
    <row r="16" ht="30" spans="1:19">
      <c r="A16" t="s">
        <v>89</v>
      </c>
      <c r="B16" t="s">
        <v>46</v>
      </c>
      <c r="C16" t="s">
        <v>90</v>
      </c>
      <c r="D16">
        <v>250</v>
      </c>
      <c r="E16">
        <v>20</v>
      </c>
      <c r="F16" t="s">
        <v>16</v>
      </c>
      <c r="G16" t="s">
        <v>25</v>
      </c>
      <c r="H16" t="s">
        <v>91</v>
      </c>
      <c r="I16" t="s">
        <v>92</v>
      </c>
      <c r="J16" t="s">
        <v>38</v>
      </c>
      <c r="K16" s="3" t="str">
        <f t="shared" si="0"/>
        <v>Standard Price</v>
      </c>
      <c r="N16" t="str">
        <v>16</v>
      </c>
      <c r="P16" t="str">
        <v>ES</v>
      </c>
      <c r="S16" t="str">
        <v>APR</v>
      </c>
    </row>
    <row r="17" spans="1:19">
      <c r="A17" t="s">
        <v>93</v>
      </c>
      <c r="B17" t="s">
        <v>94</v>
      </c>
      <c r="C17" t="s">
        <v>95</v>
      </c>
      <c r="D17">
        <v>50</v>
      </c>
      <c r="E17">
        <v>35</v>
      </c>
      <c r="F17" t="s">
        <v>96</v>
      </c>
      <c r="G17" t="s">
        <v>25</v>
      </c>
      <c r="H17" t="s">
        <v>97</v>
      </c>
      <c r="I17" t="s">
        <v>88</v>
      </c>
      <c r="J17" t="s">
        <v>60</v>
      </c>
      <c r="K17" t="str">
        <f t="shared" si="0"/>
        <v>Standard Price</v>
      </c>
      <c r="N17" t="str">
        <v>21</v>
      </c>
      <c r="P17" t="str">
        <v>CA</v>
      </c>
      <c r="S17" t="str">
        <v>AUG</v>
      </c>
    </row>
    <row r="18" spans="1:19">
      <c r="A18" t="s">
        <v>98</v>
      </c>
      <c r="B18" t="s">
        <v>85</v>
      </c>
      <c r="C18" t="s">
        <v>99</v>
      </c>
      <c r="D18">
        <v>160</v>
      </c>
      <c r="E18">
        <v>15</v>
      </c>
      <c r="F18" t="s">
        <v>16</v>
      </c>
      <c r="G18" t="s">
        <v>25</v>
      </c>
      <c r="H18" t="s">
        <v>100</v>
      </c>
      <c r="I18" t="s">
        <v>101</v>
      </c>
      <c r="J18" t="s">
        <v>60</v>
      </c>
      <c r="K18" t="str">
        <f t="shared" si="0"/>
        <v>Standard Price</v>
      </c>
      <c r="N18" t="str">
        <v>20</v>
      </c>
      <c r="P18" t="str">
        <v>CN</v>
      </c>
      <c r="S18" t="str">
        <v>AUG</v>
      </c>
    </row>
    <row r="19" spans="1:19">
      <c r="A19" t="s">
        <v>102</v>
      </c>
      <c r="B19" t="s">
        <v>14</v>
      </c>
      <c r="C19" t="s">
        <v>103</v>
      </c>
      <c r="D19">
        <v>980</v>
      </c>
      <c r="E19">
        <v>10</v>
      </c>
      <c r="F19" t="s">
        <v>16</v>
      </c>
      <c r="G19" t="s">
        <v>17</v>
      </c>
      <c r="H19" t="s">
        <v>104</v>
      </c>
      <c r="I19" t="s">
        <v>105</v>
      </c>
      <c r="J19" t="s">
        <v>20</v>
      </c>
      <c r="K19" t="str">
        <f t="shared" si="0"/>
        <v>High Price</v>
      </c>
      <c r="N19" t="str">
        <v>27</v>
      </c>
      <c r="P19" t="str">
        <v>IT</v>
      </c>
      <c r="S19" t="str">
        <v>JAN</v>
      </c>
    </row>
    <row r="20" spans="1:19">
      <c r="A20" t="s">
        <v>106</v>
      </c>
      <c r="B20" t="s">
        <v>107</v>
      </c>
      <c r="C20" t="s">
        <v>108</v>
      </c>
      <c r="D20">
        <v>150</v>
      </c>
      <c r="E20">
        <v>15</v>
      </c>
      <c r="F20" t="s">
        <v>24</v>
      </c>
      <c r="G20" t="s">
        <v>25</v>
      </c>
      <c r="H20" t="s">
        <v>109</v>
      </c>
      <c r="I20" t="s">
        <v>49</v>
      </c>
      <c r="J20" t="s">
        <v>33</v>
      </c>
      <c r="K20" t="str">
        <f t="shared" si="0"/>
        <v>Standard Price</v>
      </c>
      <c r="N20" t="str">
        <v>01</v>
      </c>
      <c r="P20" t="str">
        <v>UK</v>
      </c>
      <c r="S20" t="str">
        <v>MAR</v>
      </c>
    </row>
    <row r="21" spans="1:19">
      <c r="A21" t="s">
        <v>110</v>
      </c>
      <c r="B21" t="s">
        <v>111</v>
      </c>
      <c r="C21" t="s">
        <v>112</v>
      </c>
      <c r="D21">
        <v>200</v>
      </c>
      <c r="E21">
        <v>10</v>
      </c>
      <c r="F21" t="s">
        <v>42</v>
      </c>
      <c r="G21" t="s">
        <v>25</v>
      </c>
      <c r="H21" t="s">
        <v>69</v>
      </c>
      <c r="I21" t="s">
        <v>19</v>
      </c>
      <c r="J21" t="s">
        <v>60</v>
      </c>
      <c r="K21" t="str">
        <f t="shared" si="0"/>
        <v>Standard Price</v>
      </c>
      <c r="N21" t="str">
        <v>14</v>
      </c>
      <c r="P21" t="str">
        <v>US</v>
      </c>
      <c r="S21" t="str">
        <v>AUG</v>
      </c>
    </row>
    <row r="22" spans="1:19">
      <c r="A22" t="s">
        <v>113</v>
      </c>
      <c r="B22" t="s">
        <v>114</v>
      </c>
      <c r="C22" t="s">
        <v>115</v>
      </c>
      <c r="D22">
        <v>700</v>
      </c>
      <c r="E22">
        <v>50</v>
      </c>
      <c r="F22" t="s">
        <v>16</v>
      </c>
      <c r="G22" t="s">
        <v>17</v>
      </c>
      <c r="H22" t="s">
        <v>69</v>
      </c>
      <c r="I22" t="s">
        <v>116</v>
      </c>
      <c r="J22" t="s">
        <v>44</v>
      </c>
      <c r="K22" t="str">
        <f t="shared" si="0"/>
        <v>High Price</v>
      </c>
      <c r="N22" t="str">
        <v>14</v>
      </c>
      <c r="P22" t="str">
        <v>RU</v>
      </c>
      <c r="S22" t="str">
        <v>MAY</v>
      </c>
    </row>
    <row r="23" spans="1:19">
      <c r="A23" t="s">
        <v>117</v>
      </c>
      <c r="B23" t="s">
        <v>118</v>
      </c>
      <c r="C23" t="s">
        <v>119</v>
      </c>
      <c r="D23">
        <v>80</v>
      </c>
      <c r="E23">
        <v>20</v>
      </c>
      <c r="F23" t="s">
        <v>31</v>
      </c>
      <c r="G23" t="s">
        <v>25</v>
      </c>
      <c r="H23" t="s">
        <v>120</v>
      </c>
      <c r="I23" t="s">
        <v>88</v>
      </c>
      <c r="J23" t="s">
        <v>20</v>
      </c>
      <c r="K23" t="str">
        <f t="shared" si="0"/>
        <v>Standard Price</v>
      </c>
      <c r="N23" t="str">
        <v>09</v>
      </c>
      <c r="P23" t="str">
        <v>CA</v>
      </c>
      <c r="S23" t="str">
        <v>JAN</v>
      </c>
    </row>
    <row r="24" ht="30" spans="1:19">
      <c r="A24" t="s">
        <v>121</v>
      </c>
      <c r="B24" t="s">
        <v>122</v>
      </c>
      <c r="C24" t="s">
        <v>123</v>
      </c>
      <c r="D24">
        <v>150</v>
      </c>
      <c r="E24">
        <v>30</v>
      </c>
      <c r="F24" t="s">
        <v>16</v>
      </c>
      <c r="G24" t="s">
        <v>25</v>
      </c>
      <c r="H24" t="s">
        <v>54</v>
      </c>
      <c r="I24" t="s">
        <v>124</v>
      </c>
      <c r="J24" t="s">
        <v>55</v>
      </c>
      <c r="K24" s="3" t="str">
        <f t="shared" si="0"/>
        <v>Standard Price</v>
      </c>
      <c r="N24" t="str">
        <v>19</v>
      </c>
      <c r="P24" t="str">
        <v>BR</v>
      </c>
      <c r="S24" t="str">
        <v>JUL</v>
      </c>
    </row>
    <row r="25" ht="30" spans="1:19">
      <c r="A25" t="s">
        <v>93</v>
      </c>
      <c r="B25" t="s">
        <v>94</v>
      </c>
      <c r="C25" t="s">
        <v>95</v>
      </c>
      <c r="D25">
        <v>50</v>
      </c>
      <c r="E25">
        <v>35</v>
      </c>
      <c r="F25" t="s">
        <v>96</v>
      </c>
      <c r="G25" t="s">
        <v>25</v>
      </c>
      <c r="H25" t="s">
        <v>97</v>
      </c>
      <c r="I25" t="s">
        <v>88</v>
      </c>
      <c r="J25" t="s">
        <v>60</v>
      </c>
      <c r="K25" s="3" t="str">
        <f t="shared" si="0"/>
        <v>Standard Price</v>
      </c>
      <c r="N25" t="str">
        <v>21</v>
      </c>
      <c r="P25" t="str">
        <v>CA</v>
      </c>
      <c r="S25" t="str">
        <v>AUG</v>
      </c>
    </row>
    <row r="26" ht="30" spans="1:19">
      <c r="A26" t="s">
        <v>125</v>
      </c>
      <c r="B26" t="s">
        <v>35</v>
      </c>
      <c r="C26" t="s">
        <v>126</v>
      </c>
      <c r="D26">
        <v>800</v>
      </c>
      <c r="E26">
        <v>45</v>
      </c>
      <c r="F26" t="s">
        <v>16</v>
      </c>
      <c r="G26" t="s">
        <v>17</v>
      </c>
      <c r="H26" t="s">
        <v>127</v>
      </c>
      <c r="I26" t="s">
        <v>88</v>
      </c>
      <c r="J26" t="s">
        <v>65</v>
      </c>
      <c r="K26" s="3" t="str">
        <f t="shared" si="0"/>
        <v>High Price</v>
      </c>
      <c r="N26" t="str">
        <v>29</v>
      </c>
      <c r="P26" t="str">
        <v>CA</v>
      </c>
      <c r="S26" t="str">
        <v>SEP</v>
      </c>
    </row>
    <row r="27" ht="30" spans="1:19">
      <c r="A27" t="s">
        <v>128</v>
      </c>
      <c r="B27" t="s">
        <v>107</v>
      </c>
      <c r="C27" t="s">
        <v>129</v>
      </c>
      <c r="D27">
        <v>130</v>
      </c>
      <c r="E27">
        <v>25</v>
      </c>
      <c r="F27" t="s">
        <v>24</v>
      </c>
      <c r="G27" t="s">
        <v>25</v>
      </c>
      <c r="H27" t="s">
        <v>32</v>
      </c>
      <c r="I27" t="s">
        <v>88</v>
      </c>
      <c r="J27" t="s">
        <v>50</v>
      </c>
      <c r="K27" s="3" t="str">
        <f t="shared" si="0"/>
        <v>Standard Price</v>
      </c>
      <c r="N27" t="str">
        <v>03</v>
      </c>
      <c r="P27" t="str">
        <v>CA</v>
      </c>
      <c r="S27" t="str">
        <v>JUN</v>
      </c>
    </row>
    <row r="28" spans="1:19">
      <c r="A28" t="s">
        <v>130</v>
      </c>
      <c r="B28" t="s">
        <v>57</v>
      </c>
      <c r="C28" t="s">
        <v>131</v>
      </c>
      <c r="D28">
        <v>400</v>
      </c>
      <c r="E28">
        <v>40</v>
      </c>
      <c r="F28" t="s">
        <v>31</v>
      </c>
      <c r="G28" t="s">
        <v>25</v>
      </c>
      <c r="H28" t="s">
        <v>37</v>
      </c>
      <c r="I28" t="s">
        <v>88</v>
      </c>
      <c r="J28" t="s">
        <v>55</v>
      </c>
      <c r="K28" t="str">
        <f t="shared" si="0"/>
        <v>Standard Price</v>
      </c>
      <c r="N28" t="str">
        <v>11</v>
      </c>
      <c r="P28" t="str">
        <v>CA</v>
      </c>
      <c r="S28" t="str">
        <v>JUL</v>
      </c>
    </row>
    <row r="29" spans="1:19">
      <c r="A29" t="s">
        <v>89</v>
      </c>
      <c r="B29" t="s">
        <v>46</v>
      </c>
      <c r="C29" t="s">
        <v>90</v>
      </c>
      <c r="D29">
        <v>230</v>
      </c>
      <c r="E29">
        <v>20</v>
      </c>
      <c r="F29" t="s">
        <v>16</v>
      </c>
      <c r="G29" t="s">
        <v>25</v>
      </c>
      <c r="H29" t="s">
        <v>91</v>
      </c>
      <c r="I29" t="s">
        <v>92</v>
      </c>
      <c r="J29" t="s">
        <v>38</v>
      </c>
      <c r="K29" t="str">
        <f t="shared" si="0"/>
        <v>Standard Price</v>
      </c>
      <c r="N29" t="str">
        <v>16</v>
      </c>
      <c r="P29" t="str">
        <v>ES</v>
      </c>
      <c r="S29" t="str">
        <v>APR</v>
      </c>
    </row>
    <row r="30" ht="30" spans="1:19">
      <c r="A30" t="s">
        <v>132</v>
      </c>
      <c r="B30" t="s">
        <v>133</v>
      </c>
      <c r="C30" t="s">
        <v>134</v>
      </c>
      <c r="D30">
        <v>60</v>
      </c>
      <c r="E30">
        <v>30</v>
      </c>
      <c r="F30" t="s">
        <v>24</v>
      </c>
      <c r="G30" t="s">
        <v>25</v>
      </c>
      <c r="H30" t="s">
        <v>48</v>
      </c>
      <c r="I30" t="s">
        <v>88</v>
      </c>
      <c r="J30" t="s">
        <v>33</v>
      </c>
      <c r="K30" s="3" t="str">
        <f t="shared" si="0"/>
        <v>Standard Price</v>
      </c>
      <c r="N30" t="str">
        <v>07</v>
      </c>
      <c r="P30" t="str">
        <v>CA</v>
      </c>
      <c r="S30" t="str">
        <v>MAR</v>
      </c>
    </row>
    <row r="31" ht="30" spans="1:19">
      <c r="A31" t="s">
        <v>135</v>
      </c>
      <c r="B31" t="s">
        <v>136</v>
      </c>
      <c r="C31" t="s">
        <v>137</v>
      </c>
      <c r="D31">
        <v>40</v>
      </c>
      <c r="E31">
        <v>10</v>
      </c>
      <c r="F31" t="s">
        <v>31</v>
      </c>
      <c r="G31" t="s">
        <v>25</v>
      </c>
      <c r="H31" t="s">
        <v>138</v>
      </c>
      <c r="I31" t="s">
        <v>88</v>
      </c>
      <c r="J31" t="s">
        <v>38</v>
      </c>
      <c r="K31" s="3" t="str">
        <f t="shared" si="0"/>
        <v>Standard Price</v>
      </c>
      <c r="N31" t="str">
        <v>13</v>
      </c>
      <c r="P31" t="str">
        <v>CA</v>
      </c>
      <c r="S31" t="str">
        <v>APR</v>
      </c>
    </row>
    <row r="32" spans="1:19">
      <c r="A32" t="s">
        <v>139</v>
      </c>
      <c r="B32" t="s">
        <v>122</v>
      </c>
      <c r="C32" t="s">
        <v>140</v>
      </c>
      <c r="D32">
        <v>130</v>
      </c>
      <c r="E32">
        <v>5</v>
      </c>
      <c r="F32" t="s">
        <v>16</v>
      </c>
      <c r="G32" t="s">
        <v>25</v>
      </c>
      <c r="H32" t="s">
        <v>141</v>
      </c>
      <c r="I32" t="s">
        <v>88</v>
      </c>
      <c r="J32" t="s">
        <v>44</v>
      </c>
      <c r="K32" t="str">
        <f t="shared" si="0"/>
        <v>Standard Price</v>
      </c>
      <c r="N32" t="str">
        <v>24</v>
      </c>
      <c r="P32" t="str">
        <v>CA</v>
      </c>
      <c r="S32" t="str">
        <v>MAY</v>
      </c>
    </row>
    <row r="33" spans="1:19">
      <c r="A33" t="s">
        <v>142</v>
      </c>
      <c r="B33" t="s">
        <v>143</v>
      </c>
      <c r="C33" t="s">
        <v>144</v>
      </c>
      <c r="D33">
        <v>50</v>
      </c>
      <c r="E33">
        <v>50</v>
      </c>
      <c r="F33" t="s">
        <v>24</v>
      </c>
      <c r="G33" t="s">
        <v>25</v>
      </c>
      <c r="H33" t="s">
        <v>145</v>
      </c>
      <c r="I33" t="s">
        <v>88</v>
      </c>
      <c r="J33" t="s">
        <v>83</v>
      </c>
      <c r="K33" t="str">
        <f t="shared" si="0"/>
        <v>Standard Price</v>
      </c>
      <c r="N33" t="str">
        <v>02</v>
      </c>
      <c r="P33" t="str">
        <v>CA</v>
      </c>
      <c r="S33" t="str">
        <v>DEC</v>
      </c>
    </row>
    <row r="34" spans="1:19">
      <c r="A34" t="s">
        <v>71</v>
      </c>
      <c r="B34" t="s">
        <v>14</v>
      </c>
      <c r="C34" t="s">
        <v>72</v>
      </c>
      <c r="D34">
        <v>950</v>
      </c>
      <c r="E34">
        <v>25</v>
      </c>
      <c r="F34" t="s">
        <v>16</v>
      </c>
      <c r="G34" t="s">
        <v>17</v>
      </c>
      <c r="H34" t="s">
        <v>73</v>
      </c>
      <c r="I34" t="s">
        <v>74</v>
      </c>
      <c r="J34" t="s">
        <v>50</v>
      </c>
      <c r="K34" t="str">
        <f t="shared" si="0"/>
        <v>High Price</v>
      </c>
      <c r="N34" t="str">
        <v>17</v>
      </c>
      <c r="P34" t="str">
        <v>IN</v>
      </c>
      <c r="S34" t="str">
        <v>JUN</v>
      </c>
    </row>
    <row r="35" spans="1:19">
      <c r="A35" t="s">
        <v>146</v>
      </c>
      <c r="B35" t="s">
        <v>147</v>
      </c>
      <c r="C35" t="s">
        <v>148</v>
      </c>
      <c r="D35">
        <v>100</v>
      </c>
      <c r="E35">
        <v>20</v>
      </c>
      <c r="F35" t="s">
        <v>96</v>
      </c>
      <c r="G35" t="s">
        <v>25</v>
      </c>
      <c r="H35" t="s">
        <v>120</v>
      </c>
      <c r="I35" t="s">
        <v>149</v>
      </c>
      <c r="J35" t="s">
        <v>55</v>
      </c>
      <c r="K35" t="str">
        <f t="shared" si="0"/>
        <v>Standard Price</v>
      </c>
      <c r="N35" t="str">
        <v>09</v>
      </c>
      <c r="P35" t="str">
        <v>FR</v>
      </c>
      <c r="S35" t="str">
        <v>JUL</v>
      </c>
    </row>
    <row r="36" spans="4:4">
      <c r="D36" s="2">
        <f>SUM(D2:D35)</f>
        <v>10100</v>
      </c>
    </row>
    <row r="37" spans="2:14">
      <c r="B37" s="3" cm="1">
        <f t="array" ref="B37">COUNTA(_xlfn.UNIQUE(B2:B35))</f>
        <v>21</v>
      </c>
      <c r="N37" s="3"/>
    </row>
    <row r="38" spans="2:14">
      <c r="B38">
        <f>COUNTA(B2:B35)</f>
        <v>34</v>
      </c>
      <c r="D38">
        <f>MAX(D2:D35)</f>
        <v>1000</v>
      </c>
      <c r="F38" s="3"/>
      <c r="N38" s="3">
        <f>SUMIF(F2:F35,"Electronics",D2:D35)</f>
        <v>8050</v>
      </c>
    </row>
    <row r="40" spans="4:4">
      <c r="D40">
        <f>MIN(D2:D35)</f>
        <v>30</v>
      </c>
    </row>
    <row r="42" spans="4:4">
      <c r="D42">
        <f>AVERAGE(D2:D35)</f>
        <v>297.058823529412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A1" sqref="A1:B8"/>
    </sheetView>
  </sheetViews>
  <sheetFormatPr defaultColWidth="9" defaultRowHeight="15" outlineLevelRow="7" outlineLevelCol="1"/>
  <cols>
    <col min="1" max="1" width="35.7142857142857" customWidth="1"/>
  </cols>
  <sheetData>
    <row r="1" spans="1:2">
      <c r="A1" s="1" t="s">
        <v>150</v>
      </c>
      <c r="B1" s="1" t="s">
        <v>151</v>
      </c>
    </row>
    <row r="2" spans="1:2">
      <c r="A2" t="s">
        <v>152</v>
      </c>
      <c r="B2">
        <v>10100</v>
      </c>
    </row>
    <row r="3" spans="1:2">
      <c r="A3" t="s">
        <v>153</v>
      </c>
      <c r="B3">
        <v>34</v>
      </c>
    </row>
    <row r="4" spans="1:2">
      <c r="A4" t="s">
        <v>154</v>
      </c>
      <c r="B4">
        <v>297.058823529412</v>
      </c>
    </row>
    <row r="5" spans="1:2">
      <c r="A5" t="s">
        <v>155</v>
      </c>
      <c r="B5">
        <v>30</v>
      </c>
    </row>
    <row r="6" spans="1:2">
      <c r="A6" t="s">
        <v>156</v>
      </c>
      <c r="B6">
        <v>1000</v>
      </c>
    </row>
    <row r="7" spans="1:2">
      <c r="A7" t="s">
        <v>157</v>
      </c>
      <c r="B7">
        <v>8050</v>
      </c>
    </row>
    <row r="8" spans="1:2">
      <c r="A8" t="s">
        <v>158</v>
      </c>
      <c r="B8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Completed Dataset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2025-10-25T13:36:00Z</dcterms:created>
  <dcterms:modified xsi:type="dcterms:W3CDTF">2025-10-30T13:57:08Z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32112F4693B5401EAF1949C5F736C774_12</vt:lpwstr>
  </property>
  <property fmtid="{D5CDD505-2E9C-101B-9397-08002B2CF9AE}" pid="3" name="KSOProductBuildVer">
    <vt:lpwstr>1033-12.2.0.22549</vt:lpwstr>
  </property>
</Properties>
</file>